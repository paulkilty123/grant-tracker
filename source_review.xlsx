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rce Review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<sst xmlns="http://schemas.openxmlformats.org/spreadsheetml/2006/main" count="114" uniqueCount="114">
  <si>
    <t xml:space="preserve">Grant Tracker — Source Quality Review</t>
  </si>
  <si>
    <t xml:space="preserve">Review each source and mark your Decision: Keep / Cut / Review Later   |   86 scraped sources   |   March 2026</t>
  </si>
  <si>
    <t xml:space="preserve">Source ID</t>
  </si>
  <si>
    <t xml:space="preserve">Grants</t>
  </si>
  <si>
    <t xml:space="preserve">Min Amount (£)</t>
  </si>
  <si>
    <t xml:space="preserve">Max Amount (£)</t>
  </si>
  <si>
    <t xml:space="preserve">Inactive</t>
  </si>
  <si>
    <t xml:space="preserve">Bad URL</t>
  </si>
  <si>
    <t xml:space="preserve">% Inactive</t>
  </si>
  <si>
    <t xml:space="preserve">% Bad URL</t>
  </si>
  <si>
    <t xml:space="preserve">Decision</t>
  </si>
  <si>
    <t xml:space="preserve">manual</t>
  </si>
  <si>
    <t xml:space="preserve">360giving</t>
  </si>
  <si>
    <t xml:space="preserve">ukri</t>
  </si>
  <si>
    <t xml:space="preserve">gov_uk</t>
  </si>
  <si>
    <t xml:space="preserve">cf_wales</t>
  </si>
  <si>
    <t xml:space="preserve">tyne_wear_cf</t>
  </si>
  <si>
    <t xml:space="preserve">foundation_scotland</t>
  </si>
  <si>
    <t xml:space="preserve">tnlcf</t>
  </si>
  <si>
    <t xml:space="preserve">london_cf</t>
  </si>
  <si>
    <t xml:space="preserve">two_ridings_cf</t>
  </si>
  <si>
    <t xml:space="preserve">heart_of_england_cf</t>
  </si>
  <si>
    <t xml:space="preserve">cf_ni</t>
  </si>
  <si>
    <t xml:space="preserve">gla</t>
  </si>
  <si>
    <t xml:space="preserve">creative_scotland</t>
  </si>
  <si>
    <t xml:space="preserve">asda_foundation</t>
  </si>
  <si>
    <t xml:space="preserve">heritage_fund</t>
  </si>
  <si>
    <t xml:space="preserve">nationwide_foundation</t>
  </si>
  <si>
    <t xml:space="preserve">forever_manchester</t>
  </si>
  <si>
    <t xml:space="preserve">paul_hamlyn_foundation</t>
  </si>
  <si>
    <t xml:space="preserve">jrct</t>
  </si>
  <si>
    <t xml:space="preserve">innovate_uk</t>
  </si>
  <si>
    <t xml:space="preserve">arts_council</t>
  </si>
  <si>
    <t xml:space="preserve">bbc_cin</t>
  </si>
  <si>
    <t xml:space="preserve">comic_relief</t>
  </si>
  <si>
    <t xml:space="preserve">aviva_foundation</t>
  </si>
  <si>
    <t xml:space="preserve">sport_scotland</t>
  </si>
  <si>
    <t xml:space="preserve">national_churches_trust</t>
  </si>
  <si>
    <t xml:space="preserve">rank_foundation</t>
  </si>
  <si>
    <t xml:space="preserve">architectural_heritage_fund</t>
  </si>
  <si>
    <t xml:space="preserve">ernest_cook_trust</t>
  </si>
  <si>
    <t xml:space="preserve">foyle_foundation</t>
  </si>
  <si>
    <t xml:space="preserve">pilgrim_trust</t>
  </si>
  <si>
    <t xml:space="preserve">armed_forces_covenant</t>
  </si>
  <si>
    <t xml:space="preserve">barrow_cadbury</t>
  </si>
  <si>
    <t xml:space="preserve">clothworkers_foundation</t>
  </si>
  <si>
    <t xml:space="preserve">wellcome_trust</t>
  </si>
  <si>
    <t xml:space="preserve">local_trust</t>
  </si>
  <si>
    <t xml:space="preserve">lloyds_bank_foundation</t>
  </si>
  <si>
    <t xml:space="preserve">rosa_uk</t>
  </si>
  <si>
    <t xml:space="preserve">kings_trust</t>
  </si>
  <si>
    <t xml:space="preserve">historic_england</t>
  </si>
  <si>
    <t xml:space="preserve">wolfson_foundation</t>
  </si>
  <si>
    <t xml:space="preserve">fredericks_foundation</t>
  </si>
  <si>
    <t xml:space="preserve">john_lewis_foundation</t>
  </si>
  <si>
    <t xml:space="preserve">esmee_fairbairn</t>
  </si>
  <si>
    <t xml:space="preserve">teenage_cancer_trust</t>
  </si>
  <si>
    <t xml:space="preserve">hiwcf</t>
  </si>
  <si>
    <t xml:space="preserve">localgiving_match</t>
  </si>
  <si>
    <t xml:space="preserve">edf_community_fund</t>
  </si>
  <si>
    <t xml:space="preserve">esmee_fairbairn_collections</t>
  </si>
  <si>
    <t xml:space="preserve">cadent_foundation</t>
  </si>
  <si>
    <t xml:space="preserve">garfield_weston</t>
  </si>
  <si>
    <t xml:space="preserve">big_issue_invest</t>
  </si>
  <si>
    <t xml:space="preserve">waitrose_community_matters</t>
  </si>
  <si>
    <t xml:space="preserve">key_fund</t>
  </si>
  <si>
    <t xml:space="preserve">veolia_environmental_trust</t>
  </si>
  <si>
    <t xml:space="preserve">coalfields_regen</t>
  </si>
  <si>
    <t xml:space="preserve">sse_fellowships</t>
  </si>
  <si>
    <t xml:space="preserve">spacehive</t>
  </si>
  <si>
    <t xml:space="preserve">social_investment_business</t>
  </si>
  <si>
    <t xml:space="preserve">marks_spencer_foundation</t>
  </si>
  <si>
    <t xml:space="preserve">jrf</t>
  </si>
  <si>
    <t xml:space="preserve">community_shares</t>
  </si>
  <si>
    <t xml:space="preserve">persimmon_foundation</t>
  </si>
  <si>
    <t xml:space="preserve">tudor_trust</t>
  </si>
  <si>
    <t xml:space="preserve">uk_spf</t>
  </si>
  <si>
    <t xml:space="preserve">dulverton_trust</t>
  </si>
  <si>
    <t xml:space="preserve">coop_foundation</t>
  </si>
  <si>
    <t xml:space="preserve">power_to_change</t>
  </si>
  <si>
    <t xml:space="preserve">aldi_foundation</t>
  </si>
  <si>
    <t xml:space="preserve">ufi_voctech</t>
  </si>
  <si>
    <t xml:space="preserve">groundwork_uk</t>
  </si>
  <si>
    <t xml:space="preserve">sport_england</t>
  </si>
  <si>
    <t xml:space="preserve">tesco_bags_of_help</t>
  </si>
  <si>
    <t xml:space="preserve">peoples_health_trust</t>
  </si>
  <si>
    <t xml:space="preserve">nesta</t>
  </si>
  <si>
    <t xml:space="preserve">nominet_tech_for_good</t>
  </si>
  <si>
    <t xml:space="preserve">santander_foundation</t>
  </si>
  <si>
    <t xml:space="preserve">blagrave_trust</t>
  </si>
  <si>
    <t xml:space="preserve">community_ownership_fund</t>
  </si>
  <si>
    <t xml:space="preserve">active_travel_england</t>
  </si>
  <si>
    <t xml:space="preserve">east_end_cf</t>
  </si>
  <si>
    <t xml:space="preserve">postcode_lottery_trust</t>
  </si>
  <si>
    <t xml:space="preserve">farming_protected_landscapes</t>
  </si>
  <si>
    <t xml:space="preserve">screwfix_foundation</t>
  </si>
  <si>
    <t xml:space="preserve">british_gas_energy_trust</t>
  </si>
  <si>
    <t xml:space="preserve">TOTAL</t>
  </si>
  <si>
    <t xml:space="preserve">How to use:</t>
  </si>
  <si>
    <t xml:space="preserve">Enter one of these values in the Decision column (I) for each source:</t>
  </si>
  <si>
    <t xml:space="preserve">  Keep          — source is useful, keep all rows</t>
  </si>
  <si>
    <t xml:space="preserve">  Cut           — remove all rows from this source from the DB</t>
  </si>
  <si>
    <t xml:space="preserve">  Review Later  — unsure; leave for now</t>
  </si>
  <si>
    <t xml:space="preserve">Tip: sources with 100% inactive or 100% bad_url are strong Cut candidates.</t>
  </si>
  <si>
    <t xml:space="preserve">Tip: sources with 0 grants shown (e.g. manual sub-sources) count toward the manual total.</t>
  </si>
  <si>
    <t xml:space="preserve">Quick Stats — Scraped Grants Database</t>
  </si>
  <si>
    <t xml:space="preserve">Total sources</t>
  </si>
  <si>
    <t xml:space="preserve">Total scraped grant rows</t>
  </si>
  <si>
    <t xml:space="preserve">Sources with grants ≥ 10</t>
  </si>
  <si>
    <t xml:space="preserve">Sources with grants = 1</t>
  </si>
  <si>
    <t xml:space="preserve">Sources with 100% inactive</t>
  </si>
  <si>
    <t xml:space="preserve">Sources with 100% bad URL</t>
  </si>
  <si>
    <t xml:space="preserve">Total inactive rows</t>
  </si>
  <si>
    <t xml:space="preserve">Total bad URL rows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</si>
</sst>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4B556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4332"/>
        <bgColor rgb="FF333300"/>
      </patternFill>
    </fill>
    <fill>
      <patternFill patternType="solid">
        <fgColor rgb="FFF0FDF4"/>
        <bgColor rgb="FFF9FAFB"/>
      </patternFill>
    </fill>
    <fill>
      <patternFill patternType="solid">
        <fgColor rgb="FFFFFFFF"/>
        <bgColor rgb="FFF9FAFB"/>
      </patternFill>
    </fill>
    <fill>
      <patternFill patternType="solid">
        <fgColor rgb="FFFEF9C3"/>
        <bgColor rgb="FFFFFF99"/>
      </patternFill>
    </fill>
    <fill>
      <patternFill patternType="solid">
        <fgColor rgb="FFF9FAFB"/>
        <bgColor rgb="FFFFFFFF"/>
      </patternFill>
    </fill>
    <fill>
      <patternFill patternType="solid">
        <fgColor rgb="FFD1FAE5"/>
        <bgColor rgb="FFF0FD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C3"/>
      <rgbColor rgb="FFF0FDF4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AFB"/>
      <rgbColor rgb="FFD1FA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4B5563"/>
      <rgbColor rgb="FF1B4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4" min="3" style="0" width="15"/>
    <col collapsed="false" customWidth="true" hidden="false" outlineLevel="0" max="6" min="5" style="0" width="10"/>
    <col collapsed="false" customWidth="true" hidden="false" outlineLevel="0" max="8" min="7" style="0" width="12"/>
    <col collapsed="false" customWidth="true" hidden="false" outlineLevel="0" max="9" min="9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9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15.75" hidden="false" customHeight="true" outlineLevel="0" collapsed="false">
      <c r="A4" s="4" t="s">
        <v>11</v>
      </c>
      <c r="B4" s="5" t="n">
        <v>398</v>
      </c>
      <c r="C4" s="6" t="n">
        <v>0</v>
      </c>
      <c r="D4" s="6" t="n">
        <v>5000000</v>
      </c>
      <c r="E4" s="5" t="n">
        <v>118</v>
      </c>
      <c r="F4" s="5" t="n">
        <v>326</v>
      </c>
      <c r="G4" s="7" t="n">
        <f aca="false">IF(B4&gt;0,E4/B4,0)</f>
        <v>0.296482412060302</v>
      </c>
      <c r="H4" s="7" t="n">
        <f aca="false">IF(B4&gt;0,F4/B4,0)</f>
        <v>0.819095477386935</v>
      </c>
      <c r="I4" s="8"/>
    </row>
    <row r="5" customFormat="false" ht="15.75" hidden="false" customHeight="true" outlineLevel="0" collapsed="false">
      <c r="A5" s="9" t="s">
        <v>12</v>
      </c>
      <c r="B5" s="10" t="n">
        <v>150</v>
      </c>
      <c r="C5" s="11"/>
      <c r="D5" s="11" t="n">
        <v>19694800</v>
      </c>
      <c r="E5" s="10" t="n">
        <v>100</v>
      </c>
      <c r="F5" s="10" t="n">
        <v>100</v>
      </c>
      <c r="G5" s="12" t="n">
        <f aca="false">IF(B5&gt;0,E5/B5,0)</f>
        <v>0.666666666666667</v>
      </c>
      <c r="H5" s="12" t="n">
        <f aca="false">IF(B5&gt;0,F5/B5,0)</f>
        <v>0.666666666666667</v>
      </c>
      <c r="I5" s="8"/>
    </row>
    <row r="6" customFormat="false" ht="15.75" hidden="false" customHeight="true" outlineLevel="0" collapsed="false">
      <c r="A6" s="4" t="s">
        <v>13</v>
      </c>
      <c r="B6" s="5" t="n">
        <v>134</v>
      </c>
      <c r="C6" s="6"/>
      <c r="D6" s="6" t="n">
        <v>40000000</v>
      </c>
      <c r="E6" s="5" t="n">
        <v>22</v>
      </c>
      <c r="F6" s="5" t="n">
        <v>28</v>
      </c>
      <c r="G6" s="7" t="n">
        <f aca="false">IF(B6&gt;0,E6/B6,0)</f>
        <v>0.164179104477612</v>
      </c>
      <c r="H6" s="7" t="n">
        <f aca="false">IF(B6&gt;0,F6/B6,0)</f>
        <v>0.208955223880597</v>
      </c>
      <c r="I6" s="8"/>
    </row>
    <row r="7" customFormat="false" ht="15.75" hidden="false" customHeight="true" outlineLevel="0" collapsed="false">
      <c r="A7" s="9" t="s">
        <v>14</v>
      </c>
      <c r="B7" s="10" t="n">
        <v>113</v>
      </c>
      <c r="C7" s="11" t="n">
        <v>1</v>
      </c>
      <c r="D7" s="11" t="n">
        <v>41710000</v>
      </c>
      <c r="E7" s="10" t="n">
        <v>10</v>
      </c>
      <c r="F7" s="10" t="n">
        <v>18</v>
      </c>
      <c r="G7" s="12" t="n">
        <f aca="false">IF(B7&gt;0,E7/B7,0)</f>
        <v>0.0884955752212389</v>
      </c>
      <c r="H7" s="12" t="n">
        <f aca="false">IF(B7&gt;0,F7/B7,0)</f>
        <v>0.15929203539823</v>
      </c>
      <c r="I7" s="8"/>
    </row>
    <row r="8" customFormat="false" ht="15.75" hidden="false" customHeight="true" outlineLevel="0" collapsed="false">
      <c r="A8" s="4" t="s">
        <v>15</v>
      </c>
      <c r="B8" s="5" t="n">
        <v>35</v>
      </c>
      <c r="C8" s="6"/>
      <c r="D8" s="6"/>
      <c r="E8" s="5" t="n">
        <v>35</v>
      </c>
      <c r="F8" s="5" t="n">
        <v>1</v>
      </c>
      <c r="G8" s="7" t="n">
        <f aca="false">IF(B8&gt;0,E8/B8,0)</f>
        <v>1</v>
      </c>
      <c r="H8" s="7" t="n">
        <f aca="false">IF(B8&gt;0,F8/B8,0)</f>
        <v>0.0285714285714286</v>
      </c>
      <c r="I8" s="8"/>
    </row>
    <row r="9" customFormat="false" ht="15.75" hidden="false" customHeight="true" outlineLevel="0" collapsed="false">
      <c r="A9" s="9" t="s">
        <v>16</v>
      </c>
      <c r="B9" s="10" t="n">
        <v>18</v>
      </c>
      <c r="C9" s="11"/>
      <c r="D9" s="11" t="n">
        <v>25000</v>
      </c>
      <c r="E9" s="10" t="n">
        <v>10</v>
      </c>
      <c r="F9" s="10" t="n">
        <v>11</v>
      </c>
      <c r="G9" s="12" t="n">
        <f aca="false">IF(B9&gt;0,E9/B9,0)</f>
        <v>0.555555555555556</v>
      </c>
      <c r="H9" s="12" t="n">
        <f aca="false">IF(B9&gt;0,F9/B9,0)</f>
        <v>0.611111111111111</v>
      </c>
      <c r="I9" s="8"/>
    </row>
    <row r="10" customFormat="false" ht="15.75" hidden="false" customHeight="true" outlineLevel="0" collapsed="false">
      <c r="A10" s="4" t="s">
        <v>17</v>
      </c>
      <c r="B10" s="5" t="n">
        <v>12</v>
      </c>
      <c r="C10" s="6" t="n">
        <v>1500</v>
      </c>
      <c r="D10" s="6" t="n">
        <v>25000</v>
      </c>
      <c r="E10" s="5" t="n">
        <v>0</v>
      </c>
      <c r="F10" s="5" t="n">
        <v>0</v>
      </c>
      <c r="G10" s="7" t="n">
        <f aca="false">IF(B10&gt;0,E10/B10,0)</f>
        <v>0</v>
      </c>
      <c r="H10" s="7" t="n">
        <f aca="false">IF(B10&gt;0,F10/B10,0)</f>
        <v>0</v>
      </c>
      <c r="I10" s="8"/>
    </row>
    <row r="11" customFormat="false" ht="15.75" hidden="false" customHeight="true" outlineLevel="0" collapsed="false">
      <c r="A11" s="9" t="s">
        <v>18</v>
      </c>
      <c r="B11" s="10" t="n">
        <v>11</v>
      </c>
      <c r="C11" s="11" t="n">
        <v>300</v>
      </c>
      <c r="D11" s="11" t="n">
        <v>20000000</v>
      </c>
      <c r="E11" s="10" t="n">
        <v>1</v>
      </c>
      <c r="F11" s="10" t="n">
        <v>1</v>
      </c>
      <c r="G11" s="12" t="n">
        <f aca="false">IF(B11&gt;0,E11/B11,0)</f>
        <v>0.0909090909090909</v>
      </c>
      <c r="H11" s="12" t="n">
        <f aca="false">IF(B11&gt;0,F11/B11,0)</f>
        <v>0.0909090909090909</v>
      </c>
      <c r="I11" s="8"/>
    </row>
    <row r="12" customFormat="false" ht="15.75" hidden="false" customHeight="true" outlineLevel="0" collapsed="false">
      <c r="A12" s="4" t="s">
        <v>19</v>
      </c>
      <c r="B12" s="5" t="n">
        <v>10</v>
      </c>
      <c r="C12" s="6"/>
      <c r="D12" s="6"/>
      <c r="E12" s="5" t="n">
        <v>0</v>
      </c>
      <c r="F12" s="5" t="n">
        <v>0</v>
      </c>
      <c r="G12" s="7" t="n">
        <f aca="false">IF(B12&gt;0,E12/B12,0)</f>
        <v>0</v>
      </c>
      <c r="H12" s="7" t="n">
        <f aca="false">IF(B12&gt;0,F12/B12,0)</f>
        <v>0</v>
      </c>
      <c r="I12" s="8"/>
    </row>
    <row r="13" customFormat="false" ht="15.75" hidden="false" customHeight="true" outlineLevel="0" collapsed="false">
      <c r="A13" s="9" t="s">
        <v>20</v>
      </c>
      <c r="B13" s="10" t="n">
        <v>10</v>
      </c>
      <c r="C13" s="11"/>
      <c r="D13" s="11"/>
      <c r="E13" s="10" t="n">
        <v>0</v>
      </c>
      <c r="F13" s="10" t="n">
        <v>0</v>
      </c>
      <c r="G13" s="12" t="n">
        <f aca="false">IF(B13&gt;0,E13/B13,0)</f>
        <v>0</v>
      </c>
      <c r="H13" s="12" t="n">
        <f aca="false">IF(B13&gt;0,F13/B13,0)</f>
        <v>0</v>
      </c>
      <c r="I13" s="8"/>
    </row>
    <row r="14" customFormat="false" ht="15.75" hidden="false" customHeight="true" outlineLevel="0" collapsed="false">
      <c r="A14" s="4" t="s">
        <v>21</v>
      </c>
      <c r="B14" s="5" t="n">
        <v>9</v>
      </c>
      <c r="C14" s="6"/>
      <c r="D14" s="6" t="n">
        <v>75000</v>
      </c>
      <c r="E14" s="5" t="n">
        <v>0</v>
      </c>
      <c r="F14" s="5" t="n">
        <v>0</v>
      </c>
      <c r="G14" s="7" t="n">
        <f aca="false">IF(B14&gt;0,E14/B14,0)</f>
        <v>0</v>
      </c>
      <c r="H14" s="7" t="n">
        <f aca="false">IF(B14&gt;0,F14/B14,0)</f>
        <v>0</v>
      </c>
      <c r="I14" s="8"/>
    </row>
    <row r="15" customFormat="false" ht="15.75" hidden="false" customHeight="true" outlineLevel="0" collapsed="false">
      <c r="A15" s="9" t="s">
        <v>22</v>
      </c>
      <c r="B15" s="10" t="n">
        <v>9</v>
      </c>
      <c r="C15" s="11"/>
      <c r="D15" s="11" t="n">
        <v>10000</v>
      </c>
      <c r="E15" s="10" t="n">
        <v>0</v>
      </c>
      <c r="F15" s="10" t="n">
        <v>0</v>
      </c>
      <c r="G15" s="12" t="n">
        <f aca="false">IF(B15&gt;0,E15/B15,0)</f>
        <v>0</v>
      </c>
      <c r="H15" s="12" t="n">
        <f aca="false">IF(B15&gt;0,F15/B15,0)</f>
        <v>0</v>
      </c>
      <c r="I15" s="8"/>
    </row>
    <row r="16" customFormat="false" ht="15.75" hidden="false" customHeight="true" outlineLevel="0" collapsed="false">
      <c r="A16" s="4" t="s">
        <v>23</v>
      </c>
      <c r="B16" s="5" t="n">
        <v>8</v>
      </c>
      <c r="C16" s="6" t="n">
        <v>10000</v>
      </c>
      <c r="D16" s="6" t="n">
        <v>500000</v>
      </c>
      <c r="E16" s="5" t="n">
        <v>0</v>
      </c>
      <c r="F16" s="5" t="n">
        <v>0</v>
      </c>
      <c r="G16" s="7" t="n">
        <f aca="false">IF(B16&gt;0,E16/B16,0)</f>
        <v>0</v>
      </c>
      <c r="H16" s="7" t="n">
        <f aca="false">IF(B16&gt;0,F16/B16,0)</f>
        <v>0</v>
      </c>
      <c r="I16" s="8"/>
    </row>
    <row r="17" customFormat="false" ht="15.75" hidden="false" customHeight="true" outlineLevel="0" collapsed="false">
      <c r="A17" s="9" t="s">
        <v>24</v>
      </c>
      <c r="B17" s="10" t="n">
        <v>7</v>
      </c>
      <c r="C17" s="11"/>
      <c r="D17" s="11"/>
      <c r="E17" s="10" t="n">
        <v>0</v>
      </c>
      <c r="F17" s="10" t="n">
        <v>0</v>
      </c>
      <c r="G17" s="12" t="n">
        <f aca="false">IF(B17&gt;0,E17/B17,0)</f>
        <v>0</v>
      </c>
      <c r="H17" s="12" t="n">
        <f aca="false">IF(B17&gt;0,F17/B17,0)</f>
        <v>0</v>
      </c>
      <c r="I17" s="8"/>
    </row>
    <row r="18" customFormat="false" ht="15.75" hidden="false" customHeight="true" outlineLevel="0" collapsed="false">
      <c r="A18" s="4" t="s">
        <v>25</v>
      </c>
      <c r="B18" s="5" t="n">
        <v>3</v>
      </c>
      <c r="C18" s="6" t="n">
        <v>500</v>
      </c>
      <c r="D18" s="6" t="n">
        <v>20000</v>
      </c>
      <c r="E18" s="5" t="n">
        <v>0</v>
      </c>
      <c r="F18" s="5" t="n">
        <v>0</v>
      </c>
      <c r="G18" s="7" t="n">
        <f aca="false">IF(B18&gt;0,E18/B18,0)</f>
        <v>0</v>
      </c>
      <c r="H18" s="7" t="n">
        <f aca="false">IF(B18&gt;0,F18/B18,0)</f>
        <v>0</v>
      </c>
      <c r="I18" s="8"/>
    </row>
    <row r="19" customFormat="false" ht="15.75" hidden="false" customHeight="true" outlineLevel="0" collapsed="false">
      <c r="A19" s="9" t="s">
        <v>26</v>
      </c>
      <c r="B19" s="10" t="n">
        <v>3</v>
      </c>
      <c r="C19" s="11" t="n">
        <v>10</v>
      </c>
      <c r="D19" s="11" t="n">
        <v>250000</v>
      </c>
      <c r="E19" s="10" t="n">
        <v>0</v>
      </c>
      <c r="F19" s="10" t="n">
        <v>0</v>
      </c>
      <c r="G19" s="12" t="n">
        <f aca="false">IF(B19&gt;0,E19/B19,0)</f>
        <v>0</v>
      </c>
      <c r="H19" s="12" t="n">
        <f aca="false">IF(B19&gt;0,F19/B19,0)</f>
        <v>0</v>
      </c>
      <c r="I19" s="8"/>
    </row>
    <row r="20" customFormat="false" ht="15.75" hidden="false" customHeight="true" outlineLevel="0" collapsed="false">
      <c r="A20" s="4" t="s">
        <v>27</v>
      </c>
      <c r="B20" s="5" t="n">
        <v>3</v>
      </c>
      <c r="C20" s="6"/>
      <c r="D20" s="6"/>
      <c r="E20" s="5" t="n">
        <v>0</v>
      </c>
      <c r="F20" s="5" t="n">
        <v>0</v>
      </c>
      <c r="G20" s="7" t="n">
        <f aca="false">IF(B20&gt;0,E20/B20,0)</f>
        <v>0</v>
      </c>
      <c r="H20" s="7" t="n">
        <f aca="false">IF(B20&gt;0,F20/B20,0)</f>
        <v>0</v>
      </c>
      <c r="I20" s="8"/>
    </row>
    <row r="21" customFormat="false" ht="15.75" hidden="false" customHeight="true" outlineLevel="0" collapsed="false">
      <c r="A21" s="9" t="s">
        <v>28</v>
      </c>
      <c r="B21" s="10" t="n">
        <v>3</v>
      </c>
      <c r="C21" s="11"/>
      <c r="D21" s="11"/>
      <c r="E21" s="10" t="n">
        <v>0</v>
      </c>
      <c r="F21" s="10" t="n">
        <v>0</v>
      </c>
      <c r="G21" s="12" t="n">
        <f aca="false">IF(B21&gt;0,E21/B21,0)</f>
        <v>0</v>
      </c>
      <c r="H21" s="12" t="n">
        <f aca="false">IF(B21&gt;0,F21/B21,0)</f>
        <v>0</v>
      </c>
      <c r="I21" s="8"/>
    </row>
    <row r="22" customFormat="false" ht="15.75" hidden="false" customHeight="true" outlineLevel="0" collapsed="false">
      <c r="A22" s="4" t="s">
        <v>29</v>
      </c>
      <c r="B22" s="5" t="n">
        <v>3</v>
      </c>
      <c r="C22" s="6" t="n">
        <v>30000</v>
      </c>
      <c r="D22" s="6" t="n">
        <v>300000</v>
      </c>
      <c r="E22" s="5" t="n">
        <v>0</v>
      </c>
      <c r="F22" s="5" t="n">
        <v>0</v>
      </c>
      <c r="G22" s="7" t="n">
        <f aca="false">IF(B22&gt;0,E22/B22,0)</f>
        <v>0</v>
      </c>
      <c r="H22" s="7" t="n">
        <f aca="false">IF(B22&gt;0,F22/B22,0)</f>
        <v>0</v>
      </c>
      <c r="I22" s="8"/>
    </row>
    <row r="23" customFormat="false" ht="15.75" hidden="false" customHeight="true" outlineLevel="0" collapsed="false">
      <c r="A23" s="9" t="s">
        <v>30</v>
      </c>
      <c r="B23" s="10" t="n">
        <v>3</v>
      </c>
      <c r="C23" s="11" t="n">
        <v>10000</v>
      </c>
      <c r="D23" s="11" t="n">
        <v>200000</v>
      </c>
      <c r="E23" s="10" t="n">
        <v>0</v>
      </c>
      <c r="F23" s="10" t="n">
        <v>0</v>
      </c>
      <c r="G23" s="12" t="n">
        <f aca="false">IF(B23&gt;0,E23/B23,0)</f>
        <v>0</v>
      </c>
      <c r="H23" s="12" t="n">
        <f aca="false">IF(B23&gt;0,F23/B23,0)</f>
        <v>0</v>
      </c>
      <c r="I23" s="8"/>
    </row>
    <row r="24" customFormat="false" ht="15.75" hidden="false" customHeight="true" outlineLevel="0" collapsed="false">
      <c r="A24" s="4" t="s">
        <v>31</v>
      </c>
      <c r="B24" s="5" t="n">
        <v>3</v>
      </c>
      <c r="C24" s="6" t="n">
        <v>5000</v>
      </c>
      <c r="D24" s="6" t="n">
        <v>500000</v>
      </c>
      <c r="E24" s="5" t="n">
        <v>1</v>
      </c>
      <c r="F24" s="5" t="n">
        <v>2</v>
      </c>
      <c r="G24" s="7" t="n">
        <f aca="false">IF(B24&gt;0,E24/B24,0)</f>
        <v>0.333333333333333</v>
      </c>
      <c r="H24" s="7" t="n">
        <f aca="false">IF(B24&gt;0,F24/B24,0)</f>
        <v>0.666666666666667</v>
      </c>
      <c r="I24" s="8"/>
    </row>
    <row r="25" customFormat="false" ht="15.75" hidden="false" customHeight="true" outlineLevel="0" collapsed="false">
      <c r="A25" s="9" t="s">
        <v>32</v>
      </c>
      <c r="B25" s="10" t="n">
        <v>3</v>
      </c>
      <c r="C25" s="11"/>
      <c r="D25" s="11"/>
      <c r="E25" s="10" t="n">
        <v>0</v>
      </c>
      <c r="F25" s="10" t="n">
        <v>0</v>
      </c>
      <c r="G25" s="12" t="n">
        <f aca="false">IF(B25&gt;0,E25/B25,0)</f>
        <v>0</v>
      </c>
      <c r="H25" s="12" t="n">
        <f aca="false">IF(B25&gt;0,F25/B25,0)</f>
        <v>0</v>
      </c>
      <c r="I25" s="8"/>
    </row>
    <row r="26" customFormat="false" ht="15.75" hidden="false" customHeight="true" outlineLevel="0" collapsed="false">
      <c r="A26" s="4" t="s">
        <v>33</v>
      </c>
      <c r="B26" s="5" t="n">
        <v>2</v>
      </c>
      <c r="C26" s="6" t="n">
        <v>1000</v>
      </c>
      <c r="D26" s="6" t="n">
        <v>40000</v>
      </c>
      <c r="E26" s="5" t="n">
        <v>0</v>
      </c>
      <c r="F26" s="5" t="n">
        <v>0</v>
      </c>
      <c r="G26" s="7" t="n">
        <f aca="false">IF(B26&gt;0,E26/B26,0)</f>
        <v>0</v>
      </c>
      <c r="H26" s="7" t="n">
        <f aca="false">IF(B26&gt;0,F26/B26,0)</f>
        <v>0</v>
      </c>
      <c r="I26" s="8"/>
    </row>
    <row r="27" customFormat="false" ht="15.75" hidden="false" customHeight="true" outlineLevel="0" collapsed="false">
      <c r="A27" s="9" t="s">
        <v>34</v>
      </c>
      <c r="B27" s="10" t="n">
        <v>2</v>
      </c>
      <c r="C27" s="11" t="n">
        <v>10000</v>
      </c>
      <c r="D27" s="11" t="n">
        <v>200000</v>
      </c>
      <c r="E27" s="10" t="n">
        <v>2</v>
      </c>
      <c r="F27" s="10" t="n">
        <v>2</v>
      </c>
      <c r="G27" s="12" t="n">
        <f aca="false">IF(B27&gt;0,E27/B27,0)</f>
        <v>1</v>
      </c>
      <c r="H27" s="12" t="n">
        <f aca="false">IF(B27&gt;0,F27/B27,0)</f>
        <v>1</v>
      </c>
      <c r="I27" s="8"/>
    </row>
    <row r="28" customFormat="false" ht="15.75" hidden="false" customHeight="true" outlineLevel="0" collapsed="false">
      <c r="A28" s="4" t="s">
        <v>35</v>
      </c>
      <c r="B28" s="5" t="n">
        <v>2</v>
      </c>
      <c r="C28" s="6"/>
      <c r="D28" s="6"/>
      <c r="E28" s="5" t="n">
        <v>0</v>
      </c>
      <c r="F28" s="5" t="n">
        <v>0</v>
      </c>
      <c r="G28" s="7" t="n">
        <f aca="false">IF(B28&gt;0,E28/B28,0)</f>
        <v>0</v>
      </c>
      <c r="H28" s="7" t="n">
        <f aca="false">IF(B28&gt;0,F28/B28,0)</f>
        <v>0</v>
      </c>
      <c r="I28" s="8"/>
    </row>
    <row r="29" customFormat="false" ht="15.75" hidden="false" customHeight="true" outlineLevel="0" collapsed="false">
      <c r="A29" s="9" t="s">
        <v>36</v>
      </c>
      <c r="B29" s="10" t="n">
        <v>2</v>
      </c>
      <c r="C29" s="11" t="n">
        <v>1000</v>
      </c>
      <c r="D29" s="11" t="n">
        <v>500000</v>
      </c>
      <c r="E29" s="10" t="n">
        <v>1</v>
      </c>
      <c r="F29" s="10" t="n">
        <v>1</v>
      </c>
      <c r="G29" s="12" t="n">
        <f aca="false">IF(B29&gt;0,E29/B29,0)</f>
        <v>0.5</v>
      </c>
      <c r="H29" s="12" t="n">
        <f aca="false">IF(B29&gt;0,F29/B29,0)</f>
        <v>0.5</v>
      </c>
      <c r="I29" s="8"/>
    </row>
    <row r="30" customFormat="false" ht="15.75" hidden="false" customHeight="true" outlineLevel="0" collapsed="false">
      <c r="A30" s="4" t="s">
        <v>37</v>
      </c>
      <c r="B30" s="5" t="n">
        <v>2</v>
      </c>
      <c r="C30" s="6" t="n">
        <v>1000</v>
      </c>
      <c r="D30" s="6" t="n">
        <v>50000</v>
      </c>
      <c r="E30" s="5" t="n">
        <v>0</v>
      </c>
      <c r="F30" s="5" t="n">
        <v>0</v>
      </c>
      <c r="G30" s="7" t="n">
        <f aca="false">IF(B30&gt;0,E30/B30,0)</f>
        <v>0</v>
      </c>
      <c r="H30" s="7" t="n">
        <f aca="false">IF(B30&gt;0,F30/B30,0)</f>
        <v>0</v>
      </c>
      <c r="I30" s="8"/>
    </row>
    <row r="31" customFormat="false" ht="15.75" hidden="false" customHeight="true" outlineLevel="0" collapsed="false">
      <c r="A31" s="9" t="s">
        <v>38</v>
      </c>
      <c r="B31" s="10" t="n">
        <v>2</v>
      </c>
      <c r="C31" s="11" t="n">
        <v>3000</v>
      </c>
      <c r="D31" s="11" t="n">
        <v>15000</v>
      </c>
      <c r="E31" s="10" t="n">
        <v>0</v>
      </c>
      <c r="F31" s="10" t="n">
        <v>0</v>
      </c>
      <c r="G31" s="12" t="n">
        <f aca="false">IF(B31&gt;0,E31/B31,0)</f>
        <v>0</v>
      </c>
      <c r="H31" s="12" t="n">
        <f aca="false">IF(B31&gt;0,F31/B31,0)</f>
        <v>0</v>
      </c>
      <c r="I31" s="8"/>
    </row>
    <row r="32" customFormat="false" ht="15.75" hidden="false" customHeight="true" outlineLevel="0" collapsed="false">
      <c r="A32" s="4" t="s">
        <v>39</v>
      </c>
      <c r="B32" s="5" t="n">
        <v>2</v>
      </c>
      <c r="C32" s="6" t="n">
        <v>5000</v>
      </c>
      <c r="D32" s="6" t="n">
        <v>250000</v>
      </c>
      <c r="E32" s="5" t="n">
        <v>2</v>
      </c>
      <c r="F32" s="5" t="n">
        <v>0</v>
      </c>
      <c r="G32" s="7" t="n">
        <f aca="false">IF(B32&gt;0,E32/B32,0)</f>
        <v>1</v>
      </c>
      <c r="H32" s="7" t="n">
        <f aca="false">IF(B32&gt;0,F32/B32,0)</f>
        <v>0</v>
      </c>
      <c r="I32" s="8"/>
    </row>
    <row r="33" customFormat="false" ht="15.75" hidden="false" customHeight="true" outlineLevel="0" collapsed="false">
      <c r="A33" s="9" t="s">
        <v>40</v>
      </c>
      <c r="B33" s="10" t="n">
        <v>2</v>
      </c>
      <c r="C33" s="11" t="n">
        <v>2000</v>
      </c>
      <c r="D33" s="11" t="n">
        <v>50000</v>
      </c>
      <c r="E33" s="10" t="n">
        <v>2</v>
      </c>
      <c r="F33" s="10" t="n">
        <v>0</v>
      </c>
      <c r="G33" s="12" t="n">
        <f aca="false">IF(B33&gt;0,E33/B33,0)</f>
        <v>1</v>
      </c>
      <c r="H33" s="12" t="n">
        <f aca="false">IF(B33&gt;0,F33/B33,0)</f>
        <v>0</v>
      </c>
      <c r="I33" s="8"/>
    </row>
    <row r="34" customFormat="false" ht="15.75" hidden="false" customHeight="true" outlineLevel="0" collapsed="false">
      <c r="A34" s="4" t="s">
        <v>41</v>
      </c>
      <c r="B34" s="5" t="n">
        <v>2</v>
      </c>
      <c r="C34" s="6" t="n">
        <v>1000</v>
      </c>
      <c r="D34" s="6" t="n">
        <v>50000</v>
      </c>
      <c r="E34" s="5" t="n">
        <v>2</v>
      </c>
      <c r="F34" s="5" t="n">
        <v>2</v>
      </c>
      <c r="G34" s="7" t="n">
        <f aca="false">IF(B34&gt;0,E34/B34,0)</f>
        <v>1</v>
      </c>
      <c r="H34" s="7" t="n">
        <f aca="false">IF(B34&gt;0,F34/B34,0)</f>
        <v>1</v>
      </c>
      <c r="I34" s="8"/>
    </row>
    <row r="35" customFormat="false" ht="15.75" hidden="false" customHeight="true" outlineLevel="0" collapsed="false">
      <c r="A35" s="9" t="s">
        <v>42</v>
      </c>
      <c r="B35" s="10" t="n">
        <v>2</v>
      </c>
      <c r="C35" s="11" t="n">
        <v>5000</v>
      </c>
      <c r="D35" s="11" t="n">
        <v>100000</v>
      </c>
      <c r="E35" s="10" t="n">
        <v>0</v>
      </c>
      <c r="F35" s="10" t="n">
        <v>0</v>
      </c>
      <c r="G35" s="12" t="n">
        <f aca="false">IF(B35&gt;0,E35/B35,0)</f>
        <v>0</v>
      </c>
      <c r="H35" s="12" t="n">
        <f aca="false">IF(B35&gt;0,F35/B35,0)</f>
        <v>0</v>
      </c>
      <c r="I35" s="8"/>
    </row>
    <row r="36" customFormat="false" ht="15.75" hidden="false" customHeight="true" outlineLevel="0" collapsed="false">
      <c r="A36" s="4" t="s">
        <v>43</v>
      </c>
      <c r="B36" s="5" t="n">
        <v>2</v>
      </c>
      <c r="C36" s="6" t="n">
        <v>500</v>
      </c>
      <c r="D36" s="6" t="n">
        <v>500000</v>
      </c>
      <c r="E36" s="5" t="n">
        <v>0</v>
      </c>
      <c r="F36" s="5" t="n">
        <v>0</v>
      </c>
      <c r="G36" s="7" t="n">
        <f aca="false">IF(B36&gt;0,E36/B36,0)</f>
        <v>0</v>
      </c>
      <c r="H36" s="7" t="n">
        <f aca="false">IF(B36&gt;0,F36/B36,0)</f>
        <v>0</v>
      </c>
      <c r="I36" s="8"/>
    </row>
    <row r="37" customFormat="false" ht="15.75" hidden="false" customHeight="true" outlineLevel="0" collapsed="false">
      <c r="A37" s="9" t="s">
        <v>44</v>
      </c>
      <c r="B37" s="10" t="n">
        <v>2</v>
      </c>
      <c r="C37" s="11" t="n">
        <v>15000</v>
      </c>
      <c r="D37" s="11" t="n">
        <v>100000</v>
      </c>
      <c r="E37" s="10" t="n">
        <v>2</v>
      </c>
      <c r="F37" s="10" t="n">
        <v>2</v>
      </c>
      <c r="G37" s="12" t="n">
        <f aca="false">IF(B37&gt;0,E37/B37,0)</f>
        <v>1</v>
      </c>
      <c r="H37" s="12" t="n">
        <f aca="false">IF(B37&gt;0,F37/B37,0)</f>
        <v>1</v>
      </c>
      <c r="I37" s="8"/>
    </row>
    <row r="38" customFormat="false" ht="15.75" hidden="false" customHeight="true" outlineLevel="0" collapsed="false">
      <c r="A38" s="4" t="s">
        <v>45</v>
      </c>
      <c r="B38" s="5" t="n">
        <v>2</v>
      </c>
      <c r="C38" s="6" t="n">
        <v>1000</v>
      </c>
      <c r="D38" s="6" t="n">
        <v>250000</v>
      </c>
      <c r="E38" s="5" t="n">
        <v>0</v>
      </c>
      <c r="F38" s="5" t="n">
        <v>0</v>
      </c>
      <c r="G38" s="7" t="n">
        <f aca="false">IF(B38&gt;0,E38/B38,0)</f>
        <v>0</v>
      </c>
      <c r="H38" s="7" t="n">
        <f aca="false">IF(B38&gt;0,F38/B38,0)</f>
        <v>0</v>
      </c>
      <c r="I38" s="8"/>
    </row>
    <row r="39" customFormat="false" ht="15.75" hidden="false" customHeight="true" outlineLevel="0" collapsed="false">
      <c r="A39" s="9" t="s">
        <v>46</v>
      </c>
      <c r="B39" s="10" t="n">
        <v>2</v>
      </c>
      <c r="C39" s="11" t="n">
        <v>10000</v>
      </c>
      <c r="D39" s="11" t="n">
        <v>3000000</v>
      </c>
      <c r="E39" s="10" t="n">
        <v>1</v>
      </c>
      <c r="F39" s="10" t="n">
        <v>1</v>
      </c>
      <c r="G39" s="12" t="n">
        <f aca="false">IF(B39&gt;0,E39/B39,0)</f>
        <v>0.5</v>
      </c>
      <c r="H39" s="12" t="n">
        <f aca="false">IF(B39&gt;0,F39/B39,0)</f>
        <v>0.5</v>
      </c>
      <c r="I39" s="8"/>
    </row>
    <row r="40" customFormat="false" ht="15.75" hidden="false" customHeight="true" outlineLevel="0" collapsed="false">
      <c r="A40" s="4" t="s">
        <v>47</v>
      </c>
      <c r="B40" s="5" t="n">
        <v>2</v>
      </c>
      <c r="C40" s="6" t="n">
        <v>10000</v>
      </c>
      <c r="D40" s="6" t="n">
        <v>1000000</v>
      </c>
      <c r="E40" s="5" t="n">
        <v>0</v>
      </c>
      <c r="F40" s="5" t="n">
        <v>0</v>
      </c>
      <c r="G40" s="7" t="n">
        <f aca="false">IF(B40&gt;0,E40/B40,0)</f>
        <v>0</v>
      </c>
      <c r="H40" s="7" t="n">
        <f aca="false">IF(B40&gt;0,F40/B40,0)</f>
        <v>0</v>
      </c>
      <c r="I40" s="8"/>
    </row>
    <row r="41" customFormat="false" ht="15.75" hidden="false" customHeight="true" outlineLevel="0" collapsed="false">
      <c r="A41" s="9" t="s">
        <v>48</v>
      </c>
      <c r="B41" s="10" t="n">
        <v>2</v>
      </c>
      <c r="C41" s="11" t="n">
        <v>25000</v>
      </c>
      <c r="D41" s="11" t="n">
        <v>100000</v>
      </c>
      <c r="E41" s="10" t="n">
        <v>2</v>
      </c>
      <c r="F41" s="10" t="n">
        <v>2</v>
      </c>
      <c r="G41" s="12" t="n">
        <f aca="false">IF(B41&gt;0,E41/B41,0)</f>
        <v>1</v>
      </c>
      <c r="H41" s="12" t="n">
        <f aca="false">IF(B41&gt;0,F41/B41,0)</f>
        <v>1</v>
      </c>
      <c r="I41" s="8"/>
    </row>
    <row r="42" customFormat="false" ht="15.75" hidden="false" customHeight="true" outlineLevel="0" collapsed="false">
      <c r="A42" s="4" t="s">
        <v>49</v>
      </c>
      <c r="B42" s="5" t="n">
        <v>2</v>
      </c>
      <c r="C42" s="6" t="n">
        <v>5000</v>
      </c>
      <c r="D42" s="6" t="n">
        <v>50000</v>
      </c>
      <c r="E42" s="5" t="n">
        <v>2</v>
      </c>
      <c r="F42" s="5" t="n">
        <v>2</v>
      </c>
      <c r="G42" s="7" t="n">
        <f aca="false">IF(B42&gt;0,E42/B42,0)</f>
        <v>1</v>
      </c>
      <c r="H42" s="7" t="n">
        <f aca="false">IF(B42&gt;0,F42/B42,0)</f>
        <v>1</v>
      </c>
      <c r="I42" s="8"/>
    </row>
    <row r="43" customFormat="false" ht="15.75" hidden="false" customHeight="true" outlineLevel="0" collapsed="false">
      <c r="A43" s="9" t="s">
        <v>50</v>
      </c>
      <c r="B43" s="10" t="n">
        <v>2</v>
      </c>
      <c r="C43" s="11" t="n">
        <v>50</v>
      </c>
      <c r="D43" s="11" t="n">
        <v>5000</v>
      </c>
      <c r="E43" s="10" t="n">
        <v>1</v>
      </c>
      <c r="F43" s="10" t="n">
        <v>2</v>
      </c>
      <c r="G43" s="12" t="n">
        <f aca="false">IF(B43&gt;0,E43/B43,0)</f>
        <v>0.5</v>
      </c>
      <c r="H43" s="12" t="n">
        <f aca="false">IF(B43&gt;0,F43/B43,0)</f>
        <v>1</v>
      </c>
      <c r="I43" s="8"/>
    </row>
    <row r="44" customFormat="false" ht="15.75" hidden="false" customHeight="true" outlineLevel="0" collapsed="false">
      <c r="A44" s="4" t="s">
        <v>51</v>
      </c>
      <c r="B44" s="5" t="n">
        <v>2</v>
      </c>
      <c r="C44" s="6" t="n">
        <v>500</v>
      </c>
      <c r="D44" s="6" t="n">
        <v>500000</v>
      </c>
      <c r="E44" s="5" t="n">
        <v>0</v>
      </c>
      <c r="F44" s="5" t="n">
        <v>0</v>
      </c>
      <c r="G44" s="7" t="n">
        <f aca="false">IF(B44&gt;0,E44/B44,0)</f>
        <v>0</v>
      </c>
      <c r="H44" s="7" t="n">
        <f aca="false">IF(B44&gt;0,F44/B44,0)</f>
        <v>0</v>
      </c>
      <c r="I44" s="8"/>
    </row>
    <row r="45" customFormat="false" ht="15.75" hidden="false" customHeight="true" outlineLevel="0" collapsed="false">
      <c r="A45" s="9" t="s">
        <v>52</v>
      </c>
      <c r="B45" s="10" t="n">
        <v>1</v>
      </c>
      <c r="C45" s="11" t="n">
        <v>20000</v>
      </c>
      <c r="D45" s="11" t="n">
        <v>500000</v>
      </c>
      <c r="E45" s="10" t="n">
        <v>0</v>
      </c>
      <c r="F45" s="10" t="n">
        <v>0</v>
      </c>
      <c r="G45" s="12" t="n">
        <f aca="false">IF(B45&gt;0,E45/B45,0)</f>
        <v>0</v>
      </c>
      <c r="H45" s="12" t="n">
        <f aca="false">IF(B45&gt;0,F45/B45,0)</f>
        <v>0</v>
      </c>
      <c r="I45" s="8"/>
    </row>
    <row r="46" customFormat="false" ht="15.75" hidden="false" customHeight="true" outlineLevel="0" collapsed="false">
      <c r="A46" s="4" t="s">
        <v>53</v>
      </c>
      <c r="B46" s="5" t="n">
        <v>1</v>
      </c>
      <c r="C46" s="6" t="n">
        <v>500</v>
      </c>
      <c r="D46" s="6" t="n">
        <v>25000</v>
      </c>
      <c r="E46" s="5" t="n">
        <v>0</v>
      </c>
      <c r="F46" s="5" t="n">
        <v>0</v>
      </c>
      <c r="G46" s="7" t="n">
        <f aca="false">IF(B46&gt;0,E46/B46,0)</f>
        <v>0</v>
      </c>
      <c r="H46" s="7" t="n">
        <f aca="false">IF(B46&gt;0,F46/B46,0)</f>
        <v>0</v>
      </c>
      <c r="I46" s="8"/>
    </row>
    <row r="47" customFormat="false" ht="15.75" hidden="false" customHeight="true" outlineLevel="0" collapsed="false">
      <c r="A47" s="9" t="s">
        <v>54</v>
      </c>
      <c r="B47" s="10" t="n">
        <v>1</v>
      </c>
      <c r="C47" s="11" t="n">
        <v>5000</v>
      </c>
      <c r="D47" s="11" t="n">
        <v>50000</v>
      </c>
      <c r="E47" s="10" t="n">
        <v>1</v>
      </c>
      <c r="F47" s="10" t="n">
        <v>1</v>
      </c>
      <c r="G47" s="12" t="n">
        <f aca="false">IF(B47&gt;0,E47/B47,0)</f>
        <v>1</v>
      </c>
      <c r="H47" s="12" t="n">
        <f aca="false">IF(B47&gt;0,F47/B47,0)</f>
        <v>1</v>
      </c>
      <c r="I47" s="8"/>
    </row>
    <row r="48" customFormat="false" ht="15.75" hidden="false" customHeight="true" outlineLevel="0" collapsed="false">
      <c r="A48" s="4" t="s">
        <v>55</v>
      </c>
      <c r="B48" s="5" t="n">
        <v>1</v>
      </c>
      <c r="C48" s="6" t="n">
        <v>30000</v>
      </c>
      <c r="D48" s="6"/>
      <c r="E48" s="5" t="n">
        <v>0</v>
      </c>
      <c r="F48" s="5" t="n">
        <v>0</v>
      </c>
      <c r="G48" s="7" t="n">
        <f aca="false">IF(B48&gt;0,E48/B48,0)</f>
        <v>0</v>
      </c>
      <c r="H48" s="7" t="n">
        <f aca="false">IF(B48&gt;0,F48/B48,0)</f>
        <v>0</v>
      </c>
      <c r="I48" s="8"/>
    </row>
    <row r="49" customFormat="false" ht="15.75" hidden="false" customHeight="true" outlineLevel="0" collapsed="false">
      <c r="A49" s="9" t="s">
        <v>56</v>
      </c>
      <c r="B49" s="10" t="n">
        <v>1</v>
      </c>
      <c r="C49" s="11" t="n">
        <v>50000</v>
      </c>
      <c r="D49" s="11" t="n">
        <v>500000</v>
      </c>
      <c r="E49" s="10" t="n">
        <v>1</v>
      </c>
      <c r="F49" s="10" t="n">
        <v>1</v>
      </c>
      <c r="G49" s="12" t="n">
        <f aca="false">IF(B49&gt;0,E49/B49,0)</f>
        <v>1</v>
      </c>
      <c r="H49" s="12" t="n">
        <f aca="false">IF(B49&gt;0,F49/B49,0)</f>
        <v>1</v>
      </c>
      <c r="I49" s="8"/>
    </row>
    <row r="50" customFormat="false" ht="15.75" hidden="false" customHeight="true" outlineLevel="0" collapsed="false">
      <c r="A50" s="4" t="s">
        <v>57</v>
      </c>
      <c r="B50" s="5" t="n">
        <v>1</v>
      </c>
      <c r="C50" s="6" t="n">
        <v>200</v>
      </c>
      <c r="D50" s="6" t="n">
        <v>1000</v>
      </c>
      <c r="E50" s="5" t="n">
        <v>0</v>
      </c>
      <c r="F50" s="5" t="n">
        <v>0</v>
      </c>
      <c r="G50" s="7" t="n">
        <f aca="false">IF(B50&gt;0,E50/B50,0)</f>
        <v>0</v>
      </c>
      <c r="H50" s="7" t="n">
        <f aca="false">IF(B50&gt;0,F50/B50,0)</f>
        <v>0</v>
      </c>
      <c r="I50" s="8"/>
    </row>
    <row r="51" customFormat="false" ht="15.75" hidden="false" customHeight="true" outlineLevel="0" collapsed="false">
      <c r="A51" s="9" t="s">
        <v>58</v>
      </c>
      <c r="B51" s="10" t="n">
        <v>1</v>
      </c>
      <c r="C51" s="11" t="n">
        <v>500</v>
      </c>
      <c r="D51" s="11" t="n">
        <v>10000</v>
      </c>
      <c r="E51" s="10" t="n">
        <v>1</v>
      </c>
      <c r="F51" s="10" t="n">
        <v>1</v>
      </c>
      <c r="G51" s="12" t="n">
        <f aca="false">IF(B51&gt;0,E51/B51,0)</f>
        <v>1</v>
      </c>
      <c r="H51" s="12" t="n">
        <f aca="false">IF(B51&gt;0,F51/B51,0)</f>
        <v>1</v>
      </c>
      <c r="I51" s="8"/>
    </row>
    <row r="52" customFormat="false" ht="15.75" hidden="false" customHeight="true" outlineLevel="0" collapsed="false">
      <c r="A52" s="4" t="s">
        <v>59</v>
      </c>
      <c r="B52" s="5" t="n">
        <v>1</v>
      </c>
      <c r="C52" s="6" t="n">
        <v>1000</v>
      </c>
      <c r="D52" s="6" t="n">
        <v>25000</v>
      </c>
      <c r="E52" s="5" t="n">
        <v>0</v>
      </c>
      <c r="F52" s="5" t="n">
        <v>1</v>
      </c>
      <c r="G52" s="7" t="n">
        <f aca="false">IF(B52&gt;0,E52/B52,0)</f>
        <v>0</v>
      </c>
      <c r="H52" s="7" t="n">
        <f aca="false">IF(B52&gt;0,F52/B52,0)</f>
        <v>1</v>
      </c>
      <c r="I52" s="8"/>
    </row>
    <row r="53" customFormat="false" ht="15.75" hidden="false" customHeight="true" outlineLevel="0" collapsed="false">
      <c r="A53" s="9" t="s">
        <v>60</v>
      </c>
      <c r="B53" s="10" t="n">
        <v>1</v>
      </c>
      <c r="C53" s="11" t="n">
        <v>30000</v>
      </c>
      <c r="D53" s="11" t="n">
        <v>250000</v>
      </c>
      <c r="E53" s="10" t="n">
        <v>1</v>
      </c>
      <c r="F53" s="10" t="n">
        <v>1</v>
      </c>
      <c r="G53" s="12" t="n">
        <f aca="false">IF(B53&gt;0,E53/B53,0)</f>
        <v>1</v>
      </c>
      <c r="H53" s="12" t="n">
        <f aca="false">IF(B53&gt;0,F53/B53,0)</f>
        <v>1</v>
      </c>
      <c r="I53" s="8"/>
    </row>
    <row r="54" customFormat="false" ht="15.75" hidden="false" customHeight="true" outlineLevel="0" collapsed="false">
      <c r="A54" s="4" t="s">
        <v>61</v>
      </c>
      <c r="B54" s="5" t="n">
        <v>1</v>
      </c>
      <c r="C54" s="6" t="n">
        <v>1000</v>
      </c>
      <c r="D54" s="6" t="n">
        <v>25000</v>
      </c>
      <c r="E54" s="5" t="n">
        <v>0</v>
      </c>
      <c r="F54" s="5" t="n">
        <v>0</v>
      </c>
      <c r="G54" s="7" t="n">
        <f aca="false">IF(B54&gt;0,E54/B54,0)</f>
        <v>0</v>
      </c>
      <c r="H54" s="7" t="n">
        <f aca="false">IF(B54&gt;0,F54/B54,0)</f>
        <v>0</v>
      </c>
      <c r="I54" s="8"/>
    </row>
    <row r="55" customFormat="false" ht="15.75" hidden="false" customHeight="true" outlineLevel="0" collapsed="false">
      <c r="A55" s="9" t="s">
        <v>62</v>
      </c>
      <c r="B55" s="10" t="n">
        <v>1</v>
      </c>
      <c r="C55" s="11" t="n">
        <v>1000</v>
      </c>
      <c r="D55" s="11" t="n">
        <v>100000</v>
      </c>
      <c r="E55" s="10" t="n">
        <v>0</v>
      </c>
      <c r="F55" s="10" t="n">
        <v>0</v>
      </c>
      <c r="G55" s="12" t="n">
        <f aca="false">IF(B55&gt;0,E55/B55,0)</f>
        <v>0</v>
      </c>
      <c r="H55" s="12" t="n">
        <f aca="false">IF(B55&gt;0,F55/B55,0)</f>
        <v>0</v>
      </c>
      <c r="I55" s="8"/>
    </row>
    <row r="56" customFormat="false" ht="15.75" hidden="false" customHeight="true" outlineLevel="0" collapsed="false">
      <c r="A56" s="4" t="s">
        <v>63</v>
      </c>
      <c r="B56" s="5" t="n">
        <v>1</v>
      </c>
      <c r="C56" s="6" t="n">
        <v>20000</v>
      </c>
      <c r="D56" s="6" t="n">
        <v>1500000</v>
      </c>
      <c r="E56" s="5" t="n">
        <v>1</v>
      </c>
      <c r="F56" s="5" t="n">
        <v>1</v>
      </c>
      <c r="G56" s="7" t="n">
        <f aca="false">IF(B56&gt;0,E56/B56,0)</f>
        <v>1</v>
      </c>
      <c r="H56" s="7" t="n">
        <f aca="false">IF(B56&gt;0,F56/B56,0)</f>
        <v>1</v>
      </c>
      <c r="I56" s="8"/>
    </row>
    <row r="57" customFormat="false" ht="15.75" hidden="false" customHeight="true" outlineLevel="0" collapsed="false">
      <c r="A57" s="9" t="s">
        <v>64</v>
      </c>
      <c r="B57" s="10" t="n">
        <v>1</v>
      </c>
      <c r="C57" s="11" t="n">
        <v>100</v>
      </c>
      <c r="D57" s="11" t="n">
        <v>1000</v>
      </c>
      <c r="E57" s="10" t="n">
        <v>0</v>
      </c>
      <c r="F57" s="10" t="n">
        <v>0</v>
      </c>
      <c r="G57" s="12" t="n">
        <f aca="false">IF(B57&gt;0,E57/B57,0)</f>
        <v>0</v>
      </c>
      <c r="H57" s="12" t="n">
        <f aca="false">IF(B57&gt;0,F57/B57,0)</f>
        <v>0</v>
      </c>
      <c r="I57" s="8"/>
    </row>
    <row r="58" customFormat="false" ht="15.75" hidden="false" customHeight="true" outlineLevel="0" collapsed="false">
      <c r="A58" s="4" t="s">
        <v>65</v>
      </c>
      <c r="B58" s="5" t="n">
        <v>1</v>
      </c>
      <c r="C58" s="6" t="n">
        <v>2000</v>
      </c>
      <c r="D58" s="6" t="n">
        <v>150000</v>
      </c>
      <c r="E58" s="5" t="n">
        <v>1</v>
      </c>
      <c r="F58" s="5" t="n">
        <v>1</v>
      </c>
      <c r="G58" s="7" t="n">
        <f aca="false">IF(B58&gt;0,E58/B58,0)</f>
        <v>1</v>
      </c>
      <c r="H58" s="7" t="n">
        <f aca="false">IF(B58&gt;0,F58/B58,0)</f>
        <v>1</v>
      </c>
      <c r="I58" s="8"/>
    </row>
    <row r="59" customFormat="false" ht="15.75" hidden="false" customHeight="true" outlineLevel="0" collapsed="false">
      <c r="A59" s="9" t="s">
        <v>66</v>
      </c>
      <c r="B59" s="10" t="n">
        <v>1</v>
      </c>
      <c r="C59" s="11" t="n">
        <v>10000</v>
      </c>
      <c r="D59" s="11" t="n">
        <v>75000</v>
      </c>
      <c r="E59" s="10" t="n">
        <v>0</v>
      </c>
      <c r="F59" s="10" t="n">
        <v>0</v>
      </c>
      <c r="G59" s="12" t="n">
        <f aca="false">IF(B59&gt;0,E59/B59,0)</f>
        <v>0</v>
      </c>
      <c r="H59" s="12" t="n">
        <f aca="false">IF(B59&gt;0,F59/B59,0)</f>
        <v>0</v>
      </c>
      <c r="I59" s="8"/>
    </row>
    <row r="60" customFormat="false" ht="15.75" hidden="false" customHeight="true" outlineLevel="0" collapsed="false">
      <c r="A60" s="4" t="s">
        <v>67</v>
      </c>
      <c r="B60" s="5" t="n">
        <v>1</v>
      </c>
      <c r="C60" s="6"/>
      <c r="D60" s="6"/>
      <c r="E60" s="5" t="n">
        <v>0</v>
      </c>
      <c r="F60" s="5" t="n">
        <v>0</v>
      </c>
      <c r="G60" s="7" t="n">
        <f aca="false">IF(B60&gt;0,E60/B60,0)</f>
        <v>0</v>
      </c>
      <c r="H60" s="7" t="n">
        <f aca="false">IF(B60&gt;0,F60/B60,0)</f>
        <v>0</v>
      </c>
      <c r="I60" s="8"/>
    </row>
    <row r="61" customFormat="false" ht="15.75" hidden="false" customHeight="true" outlineLevel="0" collapsed="false">
      <c r="A61" s="9" t="s">
        <v>68</v>
      </c>
      <c r="B61" s="10" t="n">
        <v>1</v>
      </c>
      <c r="C61" s="11" t="n">
        <v>2500</v>
      </c>
      <c r="D61" s="11" t="n">
        <v>10000</v>
      </c>
      <c r="E61" s="10" t="n">
        <v>0</v>
      </c>
      <c r="F61" s="10" t="n">
        <v>0</v>
      </c>
      <c r="G61" s="12" t="n">
        <f aca="false">IF(B61&gt;0,E61/B61,0)</f>
        <v>0</v>
      </c>
      <c r="H61" s="12" t="n">
        <f aca="false">IF(B61&gt;0,F61/B61,0)</f>
        <v>0</v>
      </c>
      <c r="I61" s="8"/>
    </row>
    <row r="62" customFormat="false" ht="15.75" hidden="false" customHeight="true" outlineLevel="0" collapsed="false">
      <c r="A62" s="4" t="s">
        <v>69</v>
      </c>
      <c r="B62" s="5" t="n">
        <v>1</v>
      </c>
      <c r="C62" s="6" t="n">
        <v>1000</v>
      </c>
      <c r="D62" s="6" t="n">
        <v>50000</v>
      </c>
      <c r="E62" s="5" t="n">
        <v>0</v>
      </c>
      <c r="F62" s="5" t="n">
        <v>0</v>
      </c>
      <c r="G62" s="7" t="n">
        <f aca="false">IF(B62&gt;0,E62/B62,0)</f>
        <v>0</v>
      </c>
      <c r="H62" s="7" t="n">
        <f aca="false">IF(B62&gt;0,F62/B62,0)</f>
        <v>0</v>
      </c>
      <c r="I62" s="8"/>
    </row>
    <row r="63" customFormat="false" ht="15.75" hidden="false" customHeight="true" outlineLevel="0" collapsed="false">
      <c r="A63" s="9" t="s">
        <v>70</v>
      </c>
      <c r="B63" s="10" t="n">
        <v>1</v>
      </c>
      <c r="C63" s="11" t="n">
        <v>50000</v>
      </c>
      <c r="D63" s="11" t="n">
        <v>1500000</v>
      </c>
      <c r="E63" s="10" t="n">
        <v>1</v>
      </c>
      <c r="F63" s="10" t="n">
        <v>1</v>
      </c>
      <c r="G63" s="12" t="n">
        <f aca="false">IF(B63&gt;0,E63/B63,0)</f>
        <v>1</v>
      </c>
      <c r="H63" s="12" t="n">
        <f aca="false">IF(B63&gt;0,F63/B63,0)</f>
        <v>1</v>
      </c>
      <c r="I63" s="8"/>
    </row>
    <row r="64" customFormat="false" ht="15.75" hidden="false" customHeight="true" outlineLevel="0" collapsed="false">
      <c r="A64" s="4" t="s">
        <v>71</v>
      </c>
      <c r="B64" s="5" t="n">
        <v>1</v>
      </c>
      <c r="C64" s="6" t="n">
        <v>5000</v>
      </c>
      <c r="D64" s="6" t="n">
        <v>100000</v>
      </c>
      <c r="E64" s="5" t="n">
        <v>1</v>
      </c>
      <c r="F64" s="5" t="n">
        <v>1</v>
      </c>
      <c r="G64" s="7" t="n">
        <f aca="false">IF(B64&gt;0,E64/B64,0)</f>
        <v>1</v>
      </c>
      <c r="H64" s="7" t="n">
        <f aca="false">IF(B64&gt;0,F64/B64,0)</f>
        <v>1</v>
      </c>
      <c r="I64" s="8"/>
    </row>
    <row r="65" customFormat="false" ht="15.75" hidden="false" customHeight="true" outlineLevel="0" collapsed="false">
      <c r="A65" s="9" t="s">
        <v>72</v>
      </c>
      <c r="B65" s="10" t="n">
        <v>1</v>
      </c>
      <c r="C65" s="11" t="n">
        <v>50000</v>
      </c>
      <c r="D65" s="11" t="n">
        <v>500000</v>
      </c>
      <c r="E65" s="10" t="n">
        <v>0</v>
      </c>
      <c r="F65" s="10" t="n">
        <v>1</v>
      </c>
      <c r="G65" s="12" t="n">
        <f aca="false">IF(B65&gt;0,E65/B65,0)</f>
        <v>0</v>
      </c>
      <c r="H65" s="12" t="n">
        <f aca="false">IF(B65&gt;0,F65/B65,0)</f>
        <v>1</v>
      </c>
      <c r="I65" s="8"/>
    </row>
    <row r="66" customFormat="false" ht="15.75" hidden="false" customHeight="true" outlineLevel="0" collapsed="false">
      <c r="A66" s="4" t="s">
        <v>73</v>
      </c>
      <c r="B66" s="5" t="n">
        <v>1</v>
      </c>
      <c r="C66" s="6" t="n">
        <v>10000</v>
      </c>
      <c r="D66" s="6" t="n">
        <v>2000000</v>
      </c>
      <c r="E66" s="5" t="n">
        <v>0</v>
      </c>
      <c r="F66" s="5" t="n">
        <v>0</v>
      </c>
      <c r="G66" s="7" t="n">
        <f aca="false">IF(B66&gt;0,E66/B66,0)</f>
        <v>0</v>
      </c>
      <c r="H66" s="7" t="n">
        <f aca="false">IF(B66&gt;0,F66/B66,0)</f>
        <v>0</v>
      </c>
      <c r="I66" s="8"/>
    </row>
    <row r="67" customFormat="false" ht="15.75" hidden="false" customHeight="true" outlineLevel="0" collapsed="false">
      <c r="A67" s="9" t="s">
        <v>74</v>
      </c>
      <c r="B67" s="10" t="n">
        <v>1</v>
      </c>
      <c r="C67" s="11" t="n">
        <v>500</v>
      </c>
      <c r="D67" s="11" t="n">
        <v>2000</v>
      </c>
      <c r="E67" s="10" t="n">
        <v>0</v>
      </c>
      <c r="F67" s="10" t="n">
        <v>1</v>
      </c>
      <c r="G67" s="12" t="n">
        <f aca="false">IF(B67&gt;0,E67/B67,0)</f>
        <v>0</v>
      </c>
      <c r="H67" s="12" t="n">
        <f aca="false">IF(B67&gt;0,F67/B67,0)</f>
        <v>1</v>
      </c>
      <c r="I67" s="8"/>
    </row>
    <row r="68" customFormat="false" ht="15.75" hidden="false" customHeight="true" outlineLevel="0" collapsed="false">
      <c r="A68" s="4" t="s">
        <v>75</v>
      </c>
      <c r="B68" s="5" t="n">
        <v>1</v>
      </c>
      <c r="C68" s="6" t="n">
        <v>1000</v>
      </c>
      <c r="D68" s="6" t="n">
        <v>150000</v>
      </c>
      <c r="E68" s="5" t="n">
        <v>0</v>
      </c>
      <c r="F68" s="5" t="n">
        <v>0</v>
      </c>
      <c r="G68" s="7" t="n">
        <f aca="false">IF(B68&gt;0,E68/B68,0)</f>
        <v>0</v>
      </c>
      <c r="H68" s="7" t="n">
        <f aca="false">IF(B68&gt;0,F68/B68,0)</f>
        <v>0</v>
      </c>
      <c r="I68" s="8"/>
    </row>
    <row r="69" customFormat="false" ht="15.75" hidden="false" customHeight="true" outlineLevel="0" collapsed="false">
      <c r="A69" s="9" t="s">
        <v>76</v>
      </c>
      <c r="B69" s="10" t="n">
        <v>1</v>
      </c>
      <c r="C69" s="11" t="n">
        <v>5000</v>
      </c>
      <c r="D69" s="11" t="n">
        <v>500000</v>
      </c>
      <c r="E69" s="10" t="n">
        <v>1</v>
      </c>
      <c r="F69" s="10" t="n">
        <v>1</v>
      </c>
      <c r="G69" s="12" t="n">
        <f aca="false">IF(B69&gt;0,E69/B69,0)</f>
        <v>1</v>
      </c>
      <c r="H69" s="12" t="n">
        <f aca="false">IF(B69&gt;0,F69/B69,0)</f>
        <v>1</v>
      </c>
      <c r="I69" s="8"/>
    </row>
    <row r="70" customFormat="false" ht="15.75" hidden="false" customHeight="true" outlineLevel="0" collapsed="false">
      <c r="A70" s="4" t="s">
        <v>77</v>
      </c>
      <c r="B70" s="5" t="n">
        <v>1</v>
      </c>
      <c r="C70" s="6" t="n">
        <v>5000</v>
      </c>
      <c r="D70" s="6" t="n">
        <v>50000</v>
      </c>
      <c r="E70" s="5" t="n">
        <v>1</v>
      </c>
      <c r="F70" s="5" t="n">
        <v>0</v>
      </c>
      <c r="G70" s="7" t="n">
        <f aca="false">IF(B70&gt;0,E70/B70,0)</f>
        <v>1</v>
      </c>
      <c r="H70" s="7" t="n">
        <f aca="false">IF(B70&gt;0,F70/B70,0)</f>
        <v>0</v>
      </c>
      <c r="I70" s="8"/>
    </row>
    <row r="71" customFormat="false" ht="15.75" hidden="false" customHeight="true" outlineLevel="0" collapsed="false">
      <c r="A71" s="9" t="s">
        <v>78</v>
      </c>
      <c r="B71" s="10" t="n">
        <v>1</v>
      </c>
      <c r="C71" s="11" t="n">
        <v>1000</v>
      </c>
      <c r="D71" s="11" t="n">
        <v>30000</v>
      </c>
      <c r="E71" s="10" t="n">
        <v>0</v>
      </c>
      <c r="F71" s="10" t="n">
        <v>0</v>
      </c>
      <c r="G71" s="12" t="n">
        <f aca="false">IF(B71&gt;0,E71/B71,0)</f>
        <v>0</v>
      </c>
      <c r="H71" s="12" t="n">
        <f aca="false">IF(B71&gt;0,F71/B71,0)</f>
        <v>0</v>
      </c>
      <c r="I71" s="8"/>
    </row>
    <row r="72" customFormat="false" ht="15.75" hidden="false" customHeight="true" outlineLevel="0" collapsed="false">
      <c r="A72" s="4" t="s">
        <v>79</v>
      </c>
      <c r="B72" s="5" t="n">
        <v>1</v>
      </c>
      <c r="C72" s="6" t="n">
        <v>5000</v>
      </c>
      <c r="D72" s="6" t="n">
        <v>300000</v>
      </c>
      <c r="E72" s="5" t="n">
        <v>0</v>
      </c>
      <c r="F72" s="5" t="n">
        <v>0</v>
      </c>
      <c r="G72" s="7" t="n">
        <f aca="false">IF(B72&gt;0,E72/B72,0)</f>
        <v>0</v>
      </c>
      <c r="H72" s="7" t="n">
        <f aca="false">IF(B72&gt;0,F72/B72,0)</f>
        <v>0</v>
      </c>
      <c r="I72" s="8"/>
    </row>
    <row r="73" customFormat="false" ht="15.75" hidden="false" customHeight="true" outlineLevel="0" collapsed="false">
      <c r="A73" s="9" t="s">
        <v>80</v>
      </c>
      <c r="B73" s="10" t="n">
        <v>1</v>
      </c>
      <c r="C73" s="11" t="n">
        <v>100</v>
      </c>
      <c r="D73" s="11" t="n">
        <v>1000</v>
      </c>
      <c r="E73" s="10" t="n">
        <v>1</v>
      </c>
      <c r="F73" s="10" t="n">
        <v>1</v>
      </c>
      <c r="G73" s="12" t="n">
        <f aca="false">IF(B73&gt;0,E73/B73,0)</f>
        <v>1</v>
      </c>
      <c r="H73" s="12" t="n">
        <f aca="false">IF(B73&gt;0,F73/B73,0)</f>
        <v>1</v>
      </c>
      <c r="I73" s="8"/>
    </row>
    <row r="74" customFormat="false" ht="15.75" hidden="false" customHeight="true" outlineLevel="0" collapsed="false">
      <c r="A74" s="4" t="s">
        <v>81</v>
      </c>
      <c r="B74" s="5" t="n">
        <v>1</v>
      </c>
      <c r="C74" s="6" t="n">
        <v>50000</v>
      </c>
      <c r="D74" s="6" t="n">
        <v>500000</v>
      </c>
      <c r="E74" s="5" t="n">
        <v>0</v>
      </c>
      <c r="F74" s="5" t="n">
        <v>0</v>
      </c>
      <c r="G74" s="7" t="n">
        <f aca="false">IF(B74&gt;0,E74/B74,0)</f>
        <v>0</v>
      </c>
      <c r="H74" s="7" t="n">
        <f aca="false">IF(B74&gt;0,F74/B74,0)</f>
        <v>0</v>
      </c>
      <c r="I74" s="8"/>
    </row>
    <row r="75" customFormat="false" ht="15.75" hidden="false" customHeight="true" outlineLevel="0" collapsed="false">
      <c r="A75" s="9" t="s">
        <v>82</v>
      </c>
      <c r="B75" s="10" t="n">
        <v>1</v>
      </c>
      <c r="C75" s="11" t="n">
        <v>10000</v>
      </c>
      <c r="D75" s="11" t="n">
        <v>500000</v>
      </c>
      <c r="E75" s="10" t="n">
        <v>0</v>
      </c>
      <c r="F75" s="10" t="n">
        <v>0</v>
      </c>
      <c r="G75" s="12" t="n">
        <f aca="false">IF(B75&gt;0,E75/B75,0)</f>
        <v>0</v>
      </c>
      <c r="H75" s="12" t="n">
        <f aca="false">IF(B75&gt;0,F75/B75,0)</f>
        <v>0</v>
      </c>
      <c r="I75" s="8"/>
    </row>
    <row r="76" customFormat="false" ht="15.75" hidden="false" customHeight="true" outlineLevel="0" collapsed="false">
      <c r="A76" s="4" t="s">
        <v>83</v>
      </c>
      <c r="B76" s="5" t="n">
        <v>1</v>
      </c>
      <c r="C76" s="6" t="n">
        <v>15000</v>
      </c>
      <c r="D76" s="6" t="n">
        <v>15000</v>
      </c>
      <c r="E76" s="5" t="n">
        <v>0</v>
      </c>
      <c r="F76" s="5" t="n">
        <v>0</v>
      </c>
      <c r="G76" s="7" t="n">
        <f aca="false">IF(B76&gt;0,E76/B76,0)</f>
        <v>0</v>
      </c>
      <c r="H76" s="7" t="n">
        <f aca="false">IF(B76&gt;0,F76/B76,0)</f>
        <v>0</v>
      </c>
      <c r="I76" s="8"/>
    </row>
    <row r="77" customFormat="false" ht="15.75" hidden="false" customHeight="true" outlineLevel="0" collapsed="false">
      <c r="A77" s="9" t="s">
        <v>84</v>
      </c>
      <c r="B77" s="10" t="n">
        <v>1</v>
      </c>
      <c r="C77" s="11" t="n">
        <v>1000</v>
      </c>
      <c r="D77" s="11" t="n">
        <v>4000</v>
      </c>
      <c r="E77" s="10" t="n">
        <v>0</v>
      </c>
      <c r="F77" s="10" t="n">
        <v>0</v>
      </c>
      <c r="G77" s="12" t="n">
        <f aca="false">IF(B77&gt;0,E77/B77,0)</f>
        <v>0</v>
      </c>
      <c r="H77" s="12" t="n">
        <f aca="false">IF(B77&gt;0,F77/B77,0)</f>
        <v>0</v>
      </c>
      <c r="I77" s="8"/>
    </row>
    <row r="78" customFormat="false" ht="15.75" hidden="false" customHeight="true" outlineLevel="0" collapsed="false">
      <c r="A78" s="4" t="s">
        <v>85</v>
      </c>
      <c r="B78" s="5" t="n">
        <v>1</v>
      </c>
      <c r="C78" s="6" t="n">
        <v>10000</v>
      </c>
      <c r="D78" s="6" t="n">
        <v>150000</v>
      </c>
      <c r="E78" s="5" t="n">
        <v>0</v>
      </c>
      <c r="F78" s="5" t="n">
        <v>0</v>
      </c>
      <c r="G78" s="7" t="n">
        <f aca="false">IF(B78&gt;0,E78/B78,0)</f>
        <v>0</v>
      </c>
      <c r="H78" s="7" t="n">
        <f aca="false">IF(B78&gt;0,F78/B78,0)</f>
        <v>0</v>
      </c>
      <c r="I78" s="8"/>
    </row>
    <row r="79" customFormat="false" ht="15.75" hidden="false" customHeight="true" outlineLevel="0" collapsed="false">
      <c r="A79" s="9" t="s">
        <v>86</v>
      </c>
      <c r="B79" s="10" t="n">
        <v>1</v>
      </c>
      <c r="C79" s="11" t="n">
        <v>25000</v>
      </c>
      <c r="D79" s="11" t="n">
        <v>1000000</v>
      </c>
      <c r="E79" s="10" t="n">
        <v>1</v>
      </c>
      <c r="F79" s="10" t="n">
        <v>1</v>
      </c>
      <c r="G79" s="12" t="n">
        <f aca="false">IF(B79&gt;0,E79/B79,0)</f>
        <v>1</v>
      </c>
      <c r="H79" s="12" t="n">
        <f aca="false">IF(B79&gt;0,F79/B79,0)</f>
        <v>1</v>
      </c>
      <c r="I79" s="8"/>
    </row>
    <row r="80" customFormat="false" ht="15.75" hidden="false" customHeight="true" outlineLevel="0" collapsed="false">
      <c r="A80" s="4" t="s">
        <v>87</v>
      </c>
      <c r="B80" s="5" t="n">
        <v>1</v>
      </c>
      <c r="C80" s="6" t="n">
        <v>5000</v>
      </c>
      <c r="D80" s="6" t="n">
        <v>100000</v>
      </c>
      <c r="E80" s="5" t="n">
        <v>1</v>
      </c>
      <c r="F80" s="5" t="n">
        <v>1</v>
      </c>
      <c r="G80" s="7" t="n">
        <f aca="false">IF(B80&gt;0,E80/B80,0)</f>
        <v>1</v>
      </c>
      <c r="H80" s="7" t="n">
        <f aca="false">IF(B80&gt;0,F80/B80,0)</f>
        <v>1</v>
      </c>
      <c r="I80" s="8"/>
    </row>
    <row r="81" customFormat="false" ht="15.75" hidden="false" customHeight="true" outlineLevel="0" collapsed="false">
      <c r="A81" s="9" t="s">
        <v>88</v>
      </c>
      <c r="B81" s="10" t="n">
        <v>1</v>
      </c>
      <c r="C81" s="11" t="n">
        <v>2000</v>
      </c>
      <c r="D81" s="11" t="n">
        <v>20000</v>
      </c>
      <c r="E81" s="10" t="n">
        <v>0</v>
      </c>
      <c r="F81" s="10" t="n">
        <v>0</v>
      </c>
      <c r="G81" s="12" t="n">
        <f aca="false">IF(B81&gt;0,E81/B81,0)</f>
        <v>0</v>
      </c>
      <c r="H81" s="12" t="n">
        <f aca="false">IF(B81&gt;0,F81/B81,0)</f>
        <v>0</v>
      </c>
      <c r="I81" s="8"/>
    </row>
    <row r="82" customFormat="false" ht="15.75" hidden="false" customHeight="true" outlineLevel="0" collapsed="false">
      <c r="A82" s="4" t="s">
        <v>89</v>
      </c>
      <c r="B82" s="5" t="n">
        <v>1</v>
      </c>
      <c r="C82" s="6" t="n">
        <v>10000</v>
      </c>
      <c r="D82" s="6" t="n">
        <v>50000</v>
      </c>
      <c r="E82" s="5" t="n">
        <v>1</v>
      </c>
      <c r="F82" s="5" t="n">
        <v>1</v>
      </c>
      <c r="G82" s="7" t="n">
        <f aca="false">IF(B82&gt;0,E82/B82,0)</f>
        <v>1</v>
      </c>
      <c r="H82" s="7" t="n">
        <f aca="false">IF(B82&gt;0,F82/B82,0)</f>
        <v>1</v>
      </c>
      <c r="I82" s="8"/>
    </row>
    <row r="83" customFormat="false" ht="15.75" hidden="false" customHeight="true" outlineLevel="0" collapsed="false">
      <c r="A83" s="9" t="s">
        <v>90</v>
      </c>
      <c r="B83" s="10" t="n">
        <v>1</v>
      </c>
      <c r="C83" s="11" t="n">
        <v>20000</v>
      </c>
      <c r="D83" s="11" t="n">
        <v>250000</v>
      </c>
      <c r="E83" s="10" t="n">
        <v>1</v>
      </c>
      <c r="F83" s="10" t="n">
        <v>1</v>
      </c>
      <c r="G83" s="12" t="n">
        <f aca="false">IF(B83&gt;0,E83/B83,0)</f>
        <v>1</v>
      </c>
      <c r="H83" s="12" t="n">
        <f aca="false">IF(B83&gt;0,F83/B83,0)</f>
        <v>1</v>
      </c>
      <c r="I83" s="8"/>
    </row>
    <row r="84" customFormat="false" ht="15.75" hidden="false" customHeight="true" outlineLevel="0" collapsed="false">
      <c r="A84" s="4" t="s">
        <v>91</v>
      </c>
      <c r="B84" s="5" t="n">
        <v>1</v>
      </c>
      <c r="C84" s="6" t="n">
        <v>25000</v>
      </c>
      <c r="D84" s="6" t="n">
        <v>2000000</v>
      </c>
      <c r="E84" s="5" t="n">
        <v>0</v>
      </c>
      <c r="F84" s="5" t="n">
        <v>0</v>
      </c>
      <c r="G84" s="7" t="n">
        <f aca="false">IF(B84&gt;0,E84/B84,0)</f>
        <v>0</v>
      </c>
      <c r="H84" s="7" t="n">
        <f aca="false">IF(B84&gt;0,F84/B84,0)</f>
        <v>0</v>
      </c>
      <c r="I84" s="8"/>
    </row>
    <row r="85" customFormat="false" ht="15.75" hidden="false" customHeight="true" outlineLevel="0" collapsed="false">
      <c r="A85" s="9" t="s">
        <v>92</v>
      </c>
      <c r="B85" s="10" t="n">
        <v>1</v>
      </c>
      <c r="C85" s="11" t="n">
        <v>500</v>
      </c>
      <c r="D85" s="11" t="n">
        <v>20000</v>
      </c>
      <c r="E85" s="10" t="n">
        <v>1</v>
      </c>
      <c r="F85" s="10" t="n">
        <v>1</v>
      </c>
      <c r="G85" s="12" t="n">
        <f aca="false">IF(B85&gt;0,E85/B85,0)</f>
        <v>1</v>
      </c>
      <c r="H85" s="12" t="n">
        <f aca="false">IF(B85&gt;0,F85/B85,0)</f>
        <v>1</v>
      </c>
      <c r="I85" s="8"/>
    </row>
    <row r="86" customFormat="false" ht="15.75" hidden="false" customHeight="true" outlineLevel="0" collapsed="false">
      <c r="A86" s="4" t="s">
        <v>93</v>
      </c>
      <c r="B86" s="5" t="n">
        <v>1</v>
      </c>
      <c r="C86" s="6" t="n">
        <v>5000</v>
      </c>
      <c r="D86" s="6" t="n">
        <v>500000</v>
      </c>
      <c r="E86" s="5" t="n">
        <v>1</v>
      </c>
      <c r="F86" s="5" t="n">
        <v>1</v>
      </c>
      <c r="G86" s="7" t="n">
        <f aca="false">IF(B86&gt;0,E86/B86,0)</f>
        <v>1</v>
      </c>
      <c r="H86" s="7" t="n">
        <f aca="false">IF(B86&gt;0,F86/B86,0)</f>
        <v>1</v>
      </c>
      <c r="I86" s="8"/>
    </row>
    <row r="87" customFormat="false" ht="15.75" hidden="false" customHeight="true" outlineLevel="0" collapsed="false">
      <c r="A87" s="9" t="s">
        <v>94</v>
      </c>
      <c r="B87" s="10" t="n">
        <v>1</v>
      </c>
      <c r="C87" s="11" t="n">
        <v>2500</v>
      </c>
      <c r="D87" s="11" t="n">
        <v>50000</v>
      </c>
      <c r="E87" s="10" t="n">
        <v>0</v>
      </c>
      <c r="F87" s="10" t="n">
        <v>0</v>
      </c>
      <c r="G87" s="12" t="n">
        <f aca="false">IF(B87&gt;0,E87/B87,0)</f>
        <v>0</v>
      </c>
      <c r="H87" s="12" t="n">
        <f aca="false">IF(B87&gt;0,F87/B87,0)</f>
        <v>0</v>
      </c>
      <c r="I87" s="8"/>
    </row>
    <row r="88" customFormat="false" ht="15.75" hidden="false" customHeight="true" outlineLevel="0" collapsed="false">
      <c r="A88" s="4" t="s">
        <v>95</v>
      </c>
      <c r="B88" s="5" t="n">
        <v>1</v>
      </c>
      <c r="C88" s="6" t="n">
        <v>5000</v>
      </c>
      <c r="D88" s="6" t="n">
        <v>50000</v>
      </c>
      <c r="E88" s="5" t="n">
        <v>0</v>
      </c>
      <c r="F88" s="5" t="n">
        <v>0</v>
      </c>
      <c r="G88" s="7" t="n">
        <f aca="false">IF(B88&gt;0,E88/B88,0)</f>
        <v>0</v>
      </c>
      <c r="H88" s="7" t="n">
        <f aca="false">IF(B88&gt;0,F88/B88,0)</f>
        <v>0</v>
      </c>
      <c r="I88" s="8"/>
    </row>
    <row r="89" customFormat="false" ht="15.75" hidden="false" customHeight="true" outlineLevel="0" collapsed="false">
      <c r="A89" s="9" t="s">
        <v>96</v>
      </c>
      <c r="B89" s="10" t="n">
        <v>1</v>
      </c>
      <c r="C89" s="11" t="n">
        <v>10000</v>
      </c>
      <c r="D89" s="11" t="n">
        <v>150000</v>
      </c>
      <c r="E89" s="10" t="n">
        <v>1</v>
      </c>
      <c r="F89" s="10" t="n">
        <v>1</v>
      </c>
      <c r="G89" s="12" t="n">
        <f aca="false">IF(B89&gt;0,E89/B89,0)</f>
        <v>1</v>
      </c>
      <c r="H89" s="12" t="n">
        <f aca="false">IF(B89&gt;0,F89/B89,0)</f>
        <v>1</v>
      </c>
      <c r="I89" s="8"/>
    </row>
    <row r="90" customFormat="false" ht="18" hidden="false" customHeight="true" outlineLevel="0" collapsed="false">
      <c r="A90" s="13" t="s">
        <v>97</v>
      </c>
      <c r="B90" s="3" t="n">
        <f aca="false">SUM(B4:B89)</f>
        <v>1031</v>
      </c>
      <c r="C90" s="14"/>
      <c r="D90" s="14"/>
      <c r="E90" s="3" t="n">
        <f aca="false">SUM(E4:E89)</f>
        <v>332</v>
      </c>
      <c r="F90" s="3" t="n">
        <f aca="false">SUM(F4:F89)</f>
        <v>521</v>
      </c>
      <c r="G90" s="14"/>
      <c r="H90" s="14"/>
      <c r="I90" s="14"/>
    </row>
    <row r="92" customFormat="false" ht="15" hidden="false" customHeight="false" outlineLevel="0" collapsed="false">
      <c r="A92" s="15" t="s">
        <v>98</v>
      </c>
    </row>
    <row r="93" customFormat="false" ht="15" hidden="false" customHeight="false" outlineLevel="0" collapsed="false">
      <c r="A93" s="16" t="s">
        <v>99</v>
      </c>
      <c r="B93" s="16"/>
      <c r="C93" s="16"/>
      <c r="D93" s="16"/>
      <c r="E93" s="16"/>
      <c r="F93" s="16"/>
      <c r="G93" s="16"/>
      <c r="H93" s="16"/>
      <c r="I93" s="16"/>
    </row>
    <row r="94" customFormat="false" ht="15" hidden="false" customHeight="false" outlineLevel="0" collapsed="false">
      <c r="A94" s="16" t="s">
        <v>100</v>
      </c>
      <c r="B94" s="16"/>
      <c r="C94" s="16"/>
      <c r="D94" s="16"/>
      <c r="E94" s="16"/>
      <c r="F94" s="16"/>
      <c r="G94" s="16"/>
      <c r="H94" s="16"/>
      <c r="I94" s="16"/>
    </row>
    <row r="95" customFormat="false" ht="15" hidden="false" customHeight="false" outlineLevel="0" collapsed="false">
      <c r="A95" s="16" t="s">
        <v>101</v>
      </c>
      <c r="B95" s="16"/>
      <c r="C95" s="16"/>
      <c r="D95" s="16"/>
      <c r="E95" s="16"/>
      <c r="F95" s="16"/>
      <c r="G95" s="16"/>
      <c r="H95" s="16"/>
      <c r="I95" s="16"/>
    </row>
    <row r="96" customFormat="false" ht="15" hidden="false" customHeight="false" outlineLevel="0" collapsed="false">
      <c r="A96" s="16" t="s">
        <v>102</v>
      </c>
      <c r="B96" s="16"/>
      <c r="C96" s="16"/>
      <c r="D96" s="16"/>
      <c r="E96" s="16"/>
      <c r="F96" s="16"/>
      <c r="G96" s="16"/>
      <c r="H96" s="16"/>
      <c r="I96" s="16"/>
    </row>
    <row r="97" customFormat="false" ht="15" hidden="false" customHeight="false" outlineLevel="0" collapsed="false">
      <c r="A97" s="16"/>
      <c r="B97" s="16"/>
      <c r="C97" s="16"/>
      <c r="D97" s="16"/>
      <c r="E97" s="16"/>
      <c r="F97" s="16"/>
      <c r="G97" s="16"/>
      <c r="H97" s="16"/>
      <c r="I97" s="16"/>
    </row>
    <row r="98" customFormat="false" ht="15" hidden="false" customHeight="false" outlineLevel="0" collapsed="false">
      <c r="A98" s="16" t="s">
        <v>103</v>
      </c>
      <c r="B98" s="16"/>
      <c r="C98" s="16"/>
      <c r="D98" s="16"/>
      <c r="E98" s="16"/>
      <c r="F98" s="16"/>
      <c r="G98" s="16"/>
      <c r="H98" s="16"/>
      <c r="I98" s="16"/>
    </row>
    <row r="99" customFormat="false" ht="15" hidden="false" customHeight="false" outlineLevel="0" collapsed="false">
      <c r="A99" s="16" t="s">
        <v>104</v>
      </c>
      <c r="B99" s="16"/>
      <c r="C99" s="16"/>
      <c r="D99" s="16"/>
      <c r="E99" s="16"/>
      <c r="F99" s="16"/>
      <c r="G99" s="16"/>
      <c r="H99" s="16"/>
      <c r="I99" s="16"/>
    </row>
  </sheetData>
  <mergeCells count="9">
    <mergeCell ref="A1:I1"/>
    <mergeCell ref="A2:I2"/>
    <mergeCell ref="A93:I93"/>
    <mergeCell ref="A94:I94"/>
    <mergeCell ref="A95:I95"/>
    <mergeCell ref="A96:I96"/>
    <mergeCell ref="A97:I97"/>
    <mergeCell ref="A98:I98"/>
    <mergeCell ref="A99:I9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8"/>
  </cols>
  <sheetData>
    <row r="1" customFormat="false" ht="25.5" hidden="false" customHeight="true" outlineLevel="0" collapsed="false">
      <c r="A1" s="17" t="s">
        <v>105</v>
      </c>
      <c r="B1" s="17"/>
      <c r="C1" s="17"/>
      <c r="D1" s="17"/>
      <c r="E1" s="17"/>
    </row>
    <row r="3" customFormat="false" ht="18" hidden="false" customHeight="true" outlineLevel="0" collapsed="false">
      <c r="A3" s="4" t="s">
        <v>106</v>
      </c>
      <c r="B3" s="4"/>
      <c r="C3" s="4"/>
      <c r="D3" s="18" t="n">
        <v>86</v>
      </c>
      <c r="E3" s="18"/>
    </row>
    <row r="4" customFormat="false" ht="18" hidden="false" customHeight="true" outlineLevel="0" collapsed="false">
      <c r="A4" s="9" t="s">
        <v>107</v>
      </c>
      <c r="B4" s="9"/>
      <c r="C4" s="9"/>
      <c r="D4" s="18" t="n">
        <f aca="false">SUM('Source Review'!B4:B89)</f>
        <v>1031</v>
      </c>
      <c r="E4" s="18"/>
    </row>
    <row r="5" customFormat="false" ht="18" hidden="false" customHeight="true" outlineLevel="0" collapsed="false">
      <c r="A5" s="4" t="s">
        <v>108</v>
      </c>
      <c r="B5" s="4"/>
      <c r="C5" s="4"/>
      <c r="D5" s="18" t="n">
        <v>10</v>
      </c>
      <c r="E5" s="18"/>
    </row>
    <row r="6" customFormat="false" ht="18" hidden="false" customHeight="true" outlineLevel="0" collapsed="false">
      <c r="A6" s="9" t="s">
        <v>109</v>
      </c>
      <c r="B6" s="9"/>
      <c r="C6" s="9"/>
      <c r="D6" s="18" t="n">
        <v>45</v>
      </c>
      <c r="E6" s="18"/>
    </row>
    <row r="7" customFormat="false" ht="18" hidden="false" customHeight="true" outlineLevel="0" collapsed="false">
      <c r="A7" s="4" t="s">
        <v>110</v>
      </c>
      <c r="B7" s="4"/>
      <c r="C7" s="4"/>
      <c r="D7" s="18" t="n">
        <v>26</v>
      </c>
      <c r="E7" s="18"/>
    </row>
    <row r="8" customFormat="false" ht="18" hidden="false" customHeight="true" outlineLevel="0" collapsed="false">
      <c r="A8" s="9" t="s">
        <v>111</v>
      </c>
      <c r="B8" s="9"/>
      <c r="C8" s="9"/>
      <c r="D8" s="18" t="n">
        <v>26</v>
      </c>
      <c r="E8" s="18"/>
    </row>
    <row r="9" customFormat="false" ht="18" hidden="false" customHeight="true" outlineLevel="0" collapsed="false">
      <c r="A9" s="4" t="s">
        <v>112</v>
      </c>
      <c r="B9" s="4"/>
      <c r="C9" s="4"/>
      <c r="D9" s="18" t="n">
        <v>332</v>
      </c>
      <c r="E9" s="18"/>
    </row>
    <row r="10" customFormat="false" ht="18" hidden="false" customHeight="true" outlineLevel="0" collapsed="false">
      <c r="A10" s="9" t="s">
        <v>113</v>
      </c>
      <c r="B10" s="9"/>
      <c r="C10" s="9"/>
      <c r="D10" s="18" t="n">
        <v>521</v>
      </c>
      <c r="E10" s="18"/>
    </row>
  </sheetData>
  <mergeCells count="17">
    <mergeCell ref="A1:E1"/>
    <mergeCell ref="A3:C3"/>
    <mergeCell ref="D3:E3"/>
    <mergeCell ref="A4:C4"/>
    <mergeCell ref="D4:E4"/>
    <mergeCell ref="A5:C5"/>
    <mergeCell ref="D5:E5"/>
    <mergeCell ref="A6:C6"/>
    <mergeCell ref="D6:E6"/>
    <mergeCell ref="A7:C7"/>
    <mergeCell ref="D7:E7"/>
    <mergeCell ref="A8:C8"/>
    <mergeCell ref="D8:E8"/>
    <mergeCell ref="A9:C9"/>
    <mergeCell ref="D9:E9"/>
    <mergeCell ref="A10:C10"/>
    <mergeCell ref="D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2026-03-10T22:11:23Z</dcterms:created>
  <dc:creator>openpyxl</dc:creator>
  <dc:description/>
  <dc:language>en-US</dc:language>
  <cp:lastModifiedBy/>
  <dcterms:modified xsi:type="dcterms:W3CDTF">2026-03-10T22:11:23Z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